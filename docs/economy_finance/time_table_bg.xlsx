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fbc9c525bf652d1c/Desktop/Progetto-tps/docs/"/>
    </mc:Choice>
  </mc:AlternateContent>
  <xr:revisionPtr revIDLastSave="0" documentId="13_ncr:1_{55B68093-0D6F-4DE2-A762-BD51E5ABC732}" xr6:coauthVersionLast="47" xr6:coauthVersionMax="47" xr10:uidLastSave="{00000000-0000-0000-0000-000000000000}"/>
  <bookViews>
    <workbookView xWindow="11520" yWindow="0" windowWidth="11520" windowHeight="12360" xr2:uid="{00000000-000D-0000-FFFF-FFFF00000000}"/>
  </bookViews>
  <sheets>
    <sheet name="Project schedule" sheetId="11" r:id="rId1"/>
    <sheet name="About" sheetId="12" r:id="rId2"/>
  </sheets>
  <definedNames>
    <definedName name="Display_Week">'Project schedule'!$Q$2</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_xlnm.Print_Titles" localSheetId="0">'Project schedule'!$4:$6</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F9" i="11" s="1"/>
  <c r="E10" i="11" s="1"/>
  <c r="BQ9" i="11"/>
  <c r="H7" i="11" l="1"/>
  <c r="E21" i="11" l="1"/>
  <c r="F21" i="11" l="1"/>
  <c r="E22" i="11" s="1"/>
  <c r="E23" i="11" s="1"/>
  <c r="E27" i="11"/>
  <c r="F10" i="11"/>
  <c r="I5" i="11"/>
  <c r="H33" i="11"/>
  <c r="H32" i="11"/>
  <c r="H26" i="11"/>
  <c r="H20" i="11"/>
  <c r="H14" i="11"/>
  <c r="H8" i="11"/>
  <c r="H21" i="11" l="1"/>
  <c r="F22" i="11"/>
  <c r="H22" i="11" s="1"/>
  <c r="F27" i="11"/>
  <c r="E28" i="11" s="1"/>
  <c r="E30" i="11"/>
  <c r="E31" i="11"/>
  <c r="H9" i="11"/>
  <c r="F23" i="11"/>
  <c r="E25" i="11"/>
  <c r="E11" i="11"/>
  <c r="E13" i="11"/>
  <c r="E15" i="11" s="1"/>
  <c r="E16" i="11" s="1"/>
  <c r="I6" i="11"/>
  <c r="F31" i="11" l="1"/>
  <c r="H31" i="11" s="1"/>
  <c r="F28" i="11"/>
  <c r="E29" i="11" s="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H28" i="11" l="1"/>
  <c r="F29" i="1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<sst xmlns="http://schemas.openxmlformats.org/spreadsheetml/2006/main" count="73" uniqueCount="54">
  <si>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</si>
  <si>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</si>
  <si>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</si>
  <si>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</si>
  <si>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</si>
  <si>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</si>
  <si>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</si>
  <si>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</si>
  <si>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</si>
  <si>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</si>
  <si>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</si>
  <si>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</si>
  <si>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</si>
  <si>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</si>
  <si>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</si>
  <si>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</si>
  <si>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</si>
  <si>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</si>
  <si>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</si>
  <si>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</si>
  <si>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</si>
  <si>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VanArsdel, Ltd.</t>
  </si>
  <si>
    <t>Project lead</t>
  </si>
  <si>
    <t>Initiation</t>
  </si>
  <si>
    <t>Define goals</t>
  </si>
  <si>
    <t>Conduct studies</t>
  </si>
  <si>
    <t>Establish comms</t>
  </si>
  <si>
    <t>Develop charter</t>
  </si>
  <si>
    <t>Set up team</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</si>
  <si>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</si>
  <si>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</si>
  <si>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</si>
  <si>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</si>
  <si>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</si>
  <si>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</si>
  <si>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</si>
  <si>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</si>
  <si>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</si>
  <si>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</si>
  <si>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</si>
  <si>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</si>
  <si>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</si>
  <si>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</si>
  <si>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</si>
  <si>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</si>
  <si>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</si>
  <si>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</si>
  <si>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ASSIGNED TO</t>
  </si>
  <si>
    <t>Evaluation</t>
  </si>
  <si>
    <t>Costo Orario Risorsa Team</t>
  </si>
  <si>
    <t>Baldassarri Bruno</t>
  </si>
  <si>
    <t>Bugada Giovanni</t>
  </si>
  <si>
    <t>both</t>
  </si>
  <si>
    <t>Motor Garden Bazzana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</si>
</sst>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0\ [$€-1];[Red]\-#,##0\ [$€-1]"/>
  </numFmts>
  <fonts count="3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sz val="11"/>
      <color rgb="FF1D2129"/>
      <name val="Arial"/>
      <family val="2"/>
      <scheme val="minor"/>
    </font>
    <font>
      <u/>
      <sz val="11"/>
      <color indexed="12"/>
      <name val="Arial"/>
      <family val="2"/>
      <scheme val="minor"/>
    </font>
    <font>
      <b/>
      <sz val="40"/>
      <color rgb="FF00B050"/>
      <name val="Arial Black"/>
      <family val="2"/>
      <scheme val="major"/>
    </font>
    <font>
      <b/>
      <sz val="16"/>
      <color theme="1" tint="4.9989318521683403E-2"/>
      <name val="Arial Black"/>
      <family val="2"/>
      <scheme val="major"/>
    </font>
    <font>
      <sz val="11"/>
      <color theme="1" tint="4.9989318521683403E-2"/>
      <name val="Arial Black"/>
      <family val="2"/>
      <scheme val="major"/>
    </font>
    <font>
      <b/>
      <sz val="16"/>
      <color theme="1" tint="4.9989318521683403E-2"/>
      <name val="Arial"/>
      <family val="2"/>
      <scheme val="minor"/>
    </font>
    <font>
      <sz val="11"/>
      <color theme="1" tint="4.9989318521683403E-2"/>
      <name val="Arial"/>
      <family val="2"/>
      <scheme val="minor"/>
    </font>
    <font>
      <b/>
      <sz val="16"/>
      <color rgb="FF00B050"/>
      <name val="Arial"/>
      <family val="2"/>
      <scheme val="minor"/>
    </font>
    <font>
      <sz val="11"/>
      <color rgb="FF00B050"/>
      <name val="Arial"/>
      <family val="2"/>
      <scheme val="minor"/>
    </font>
    <font>
      <u/>
      <sz val="10"/>
      <color theme="1"/>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1F9D9"/>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4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0" borderId="20" xfId="0" applyNumberFormat="1" applyFont="1" applyFill="1" applyBorder="1" applyAlignment="1">
      <alignment horizontal="center" vertical="center"/>
    </xf>
    <xf numFmtId="168" fontId="21" fillId="10" borderId="18" xfId="0" applyNumberFormat="1" applyFont="1" applyFill="1" applyBorder="1" applyAlignment="1">
      <alignment horizontal="center" vertical="center"/>
    </xf>
    <xf numFmtId="168" fontId="21" fillId="10"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5" fontId="19" fillId="5" borderId="0" xfId="0" applyNumberFormat="1" applyFont="1" applyFill="1" applyAlignment="1">
      <alignment horizontal="center" vertical="center"/>
    </xf>
    <xf numFmtId="165" fontId="1" fillId="5" borderId="0" xfId="0" applyNumberFormat="1" applyFont="1" applyFill="1" applyAlignment="1">
      <alignment horizontal="center" vertical="center"/>
    </xf>
    <xf numFmtId="0" fontId="19" fillId="3" borderId="5" xfId="12" applyFont="1" applyFill="1" applyBorder="1">
      <alignment horizontal="left" vertical="center" indent="2"/>
    </xf>
    <xf numFmtId="0" fontId="19" fillId="3" borderId="5" xfId="11" applyFont="1" applyFill="1" applyBorder="1" applyAlignment="1">
      <alignment vertical="center"/>
    </xf>
    <xf numFmtId="9" fontId="1" fillId="3" borderId="5" xfId="2" applyFont="1" applyFill="1" applyBorder="1" applyAlignment="1">
      <alignment horizontal="center" vertical="center"/>
    </xf>
    <xf numFmtId="165" fontId="19" fillId="3" borderId="5" xfId="10" applyFont="1" applyFill="1" applyBorder="1">
      <alignment horizontal="center"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1" xfId="0" applyFont="1" applyBorder="1" applyAlignment="1">
      <alignment vertical="center"/>
    </xf>
    <xf numFmtId="0" fontId="19" fillId="4" borderId="8" xfId="12" applyFont="1" applyFill="1" applyBorder="1">
      <alignment horizontal="left" vertical="center" indent="2"/>
    </xf>
    <xf numFmtId="0" fontId="19" fillId="4" borderId="8" xfId="11" applyFont="1" applyFill="1" applyBorder="1" applyAlignment="1">
      <alignment vertical="center"/>
    </xf>
    <xf numFmtId="9" fontId="1" fillId="4" borderId="8" xfId="2" applyFont="1" applyFill="1" applyBorder="1" applyAlignment="1">
      <alignment horizontal="center" vertical="center"/>
    </xf>
    <xf numFmtId="165" fontId="19" fillId="4" borderId="8" xfId="10" applyFont="1" applyFill="1" applyBorder="1">
      <alignment horizontal="center"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4" fillId="0" borderId="10" xfId="0" applyFont="1" applyBorder="1" applyAlignment="1">
      <alignment vertical="center"/>
    </xf>
    <xf numFmtId="0" fontId="19" fillId="8" borderId="9" xfId="12" applyFont="1" applyFill="1" applyBorder="1">
      <alignment horizontal="left" vertical="center" indent="2"/>
    </xf>
    <xf numFmtId="0" fontId="19" fillId="8" borderId="9" xfId="11" applyFont="1" applyFill="1" applyBorder="1" applyAlignment="1">
      <alignment vertical="center"/>
    </xf>
    <xf numFmtId="9" fontId="1" fillId="8" borderId="9" xfId="2" applyFont="1" applyFill="1" applyBorder="1" applyAlignment="1">
      <alignment horizontal="center" vertical="center"/>
    </xf>
    <xf numFmtId="165" fontId="19" fillId="8"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169" fontId="4" fillId="0" borderId="0" xfId="0" applyNumberFormat="1" applyFont="1"/>
    <xf numFmtId="169" fontId="4" fillId="0" borderId="0" xfId="0" applyNumberFormat="1" applyFont="1" applyAlignment="1">
      <alignment vertical="center"/>
    </xf>
    <xf numFmtId="0" fontId="0" fillId="0" borderId="4" xfId="0" applyBorder="1" applyAlignment="1">
      <alignment vertical="center"/>
    </xf>
    <xf numFmtId="0" fontId="23" fillId="12" borderId="0" xfId="0" applyFont="1" applyFill="1" applyAlignment="1">
      <alignment horizontal="left" vertical="center" indent="1"/>
    </xf>
    <xf numFmtId="0" fontId="19" fillId="12" borderId="0" xfId="11" applyFont="1" applyFill="1" applyBorder="1" applyAlignment="1">
      <alignment vertical="center"/>
    </xf>
    <xf numFmtId="9" fontId="1" fillId="12" borderId="0" xfId="2" applyFont="1" applyFill="1" applyBorder="1" applyAlignment="1">
      <alignment horizontal="center" vertical="center"/>
    </xf>
    <xf numFmtId="165" fontId="19" fillId="12" borderId="0" xfId="0" applyNumberFormat="1" applyFont="1" applyFill="1" applyAlignment="1">
      <alignment horizontal="center" vertical="center"/>
    </xf>
    <xf numFmtId="165" fontId="1" fillId="12" borderId="0" xfId="0" applyNumberFormat="1" applyFont="1" applyFill="1" applyAlignment="1">
      <alignment horizontal="center" vertical="center"/>
    </xf>
    <xf numFmtId="0" fontId="19" fillId="13" borderId="6" xfId="12" applyFont="1" applyFill="1" applyBorder="1">
      <alignment horizontal="left" vertical="center" indent="2"/>
    </xf>
    <xf numFmtId="0" fontId="19" fillId="13" borderId="6" xfId="11" applyFont="1" applyFill="1" applyBorder="1" applyAlignment="1">
      <alignment vertical="center"/>
    </xf>
    <xf numFmtId="9" fontId="1" fillId="13" borderId="6" xfId="2" applyFont="1" applyFill="1" applyBorder="1" applyAlignment="1">
      <alignment horizontal="center" vertical="center"/>
    </xf>
    <xf numFmtId="165" fontId="19" fillId="13" borderId="6" xfId="10" applyFont="1" applyFill="1" applyBorder="1">
      <alignment horizontal="center" vertical="center"/>
    </xf>
    <xf numFmtId="0" fontId="19" fillId="14" borderId="7" xfId="12" applyFont="1" applyFill="1" applyBorder="1">
      <alignment horizontal="left" vertical="center" indent="2"/>
    </xf>
    <xf numFmtId="0" fontId="19" fillId="14" borderId="7" xfId="11" applyFont="1" applyFill="1" applyBorder="1" applyAlignment="1">
      <alignment vertical="center"/>
    </xf>
    <xf numFmtId="9" fontId="1" fillId="14" borderId="7" xfId="2" applyFont="1" applyFill="1" applyBorder="1" applyAlignment="1">
      <alignment horizontal="center" vertical="center"/>
    </xf>
    <xf numFmtId="165" fontId="19" fillId="14" borderId="7" xfId="10" applyFont="1" applyFill="1" applyBorder="1">
      <alignment horizontal="center" vertical="center"/>
    </xf>
    <xf numFmtId="0" fontId="19" fillId="8" borderId="7" xfId="12" applyFont="1" applyFill="1" applyBorder="1">
      <alignment horizontal="left" vertical="center" indent="2"/>
    </xf>
    <xf numFmtId="0" fontId="19" fillId="8" borderId="7" xfId="11" applyFont="1" applyFill="1" applyBorder="1" applyAlignment="1">
      <alignment vertical="center"/>
    </xf>
    <xf numFmtId="9" fontId="1" fillId="8" borderId="7" xfId="2" applyFont="1" applyFill="1" applyBorder="1" applyAlignment="1">
      <alignment horizontal="center" vertical="center"/>
    </xf>
    <xf numFmtId="165" fontId="19" fillId="8" borderId="7" xfId="10" applyFont="1" applyFill="1" applyBorder="1">
      <alignment horizontal="center" vertical="center"/>
    </xf>
    <xf numFmtId="0" fontId="19" fillId="15" borderId="7" xfId="12" applyFont="1" applyFill="1" applyBorder="1">
      <alignment horizontal="left" vertical="center" indent="2"/>
    </xf>
    <xf numFmtId="0" fontId="19" fillId="15" borderId="7" xfId="11" applyFont="1" applyFill="1" applyBorder="1" applyAlignment="1">
      <alignment vertical="center"/>
    </xf>
    <xf numFmtId="9" fontId="1" fillId="15" borderId="7" xfId="2" applyFont="1" applyFill="1" applyBorder="1" applyAlignment="1">
      <alignment horizontal="center" vertical="center"/>
    </xf>
    <xf numFmtId="165" fontId="19" fillId="15" borderId="7" xfId="10" applyFont="1" applyFill="1" applyBorder="1">
      <alignment horizontal="center" vertical="center"/>
    </xf>
    <xf numFmtId="0" fontId="19" fillId="11" borderId="7" xfId="12" applyFont="1" applyFill="1" applyBorder="1">
      <alignment horizontal="left" vertical="center" indent="2"/>
    </xf>
    <xf numFmtId="0" fontId="19" fillId="11" borderId="7" xfId="11" applyFont="1" applyFill="1" applyBorder="1" applyAlignment="1">
      <alignment vertical="center"/>
    </xf>
    <xf numFmtId="9" fontId="1" fillId="11" borderId="7" xfId="2" applyFont="1" applyFill="1" applyBorder="1" applyAlignment="1">
      <alignment horizontal="center" vertical="center"/>
    </xf>
    <xf numFmtId="165" fontId="19" fillId="11" borderId="7" xfId="10" applyFont="1" applyFill="1" applyBorder="1">
      <alignment horizontal="center" vertical="center"/>
    </xf>
    <xf numFmtId="0" fontId="29" fillId="0" borderId="0" xfId="5" applyFont="1" applyAlignment="1">
      <alignment horizontal="left"/>
    </xf>
    <xf numFmtId="0" fontId="34" fillId="0" borderId="0" xfId="7" applyFont="1" applyAlignment="1">
      <alignment horizontal="left" vertical="center" indent="1"/>
    </xf>
    <xf numFmtId="0" fontId="34" fillId="0" borderId="0" xfId="6" applyFont="1" applyAlignment="1">
      <alignment horizontal="left" vertical="center" indent="1"/>
    </xf>
    <xf numFmtId="0" fontId="35" fillId="13" borderId="4" xfId="0" applyFont="1" applyFill="1" applyBorder="1" applyAlignment="1">
      <alignment vertical="center"/>
    </xf>
    <xf numFmtId="0" fontId="4" fillId="13" borderId="4" xfId="0" applyFont="1" applyFill="1" applyBorder="1" applyAlignment="1">
      <alignment vertical="center"/>
    </xf>
    <xf numFmtId="0" fontId="4" fillId="14" borderId="4" xfId="0" applyFont="1" applyFill="1" applyBorder="1" applyAlignment="1">
      <alignment vertical="center"/>
    </xf>
    <xf numFmtId="0" fontId="35" fillId="0" borderId="4" xfId="0" applyFont="1" applyBorder="1" applyAlignment="1">
      <alignment vertical="center"/>
    </xf>
    <xf numFmtId="165" fontId="36" fillId="14" borderId="7" xfId="10" applyFont="1" applyFill="1" applyBorder="1">
      <alignment horizontal="center" vertical="center"/>
    </xf>
    <xf numFmtId="0" fontId="13" fillId="0" borderId="0" xfId="3" applyAlignment="1">
      <alignment wrapText="1"/>
    </xf>
    <xf numFmtId="0" fontId="20" fillId="9"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9" borderId="16" xfId="0" applyFont="1" applyFill="1" applyBorder="1" applyAlignment="1">
      <alignment vertical="center"/>
    </xf>
    <xf numFmtId="0" fontId="4" fillId="2" borderId="21" xfId="0" applyFont="1" applyFill="1" applyBorder="1"/>
    <xf numFmtId="0" fontId="20" fillId="9" borderId="16" xfId="0" applyFont="1" applyFill="1" applyBorder="1" applyAlignment="1">
      <alignment horizontal="center" vertical="center"/>
    </xf>
    <xf numFmtId="0" fontId="30" fillId="0" borderId="0" xfId="0" applyFont="1" applyAlignment="1">
      <alignment horizontal="left"/>
    </xf>
    <xf numFmtId="0" fontId="31" fillId="0" borderId="0" xfId="0" applyFont="1"/>
    <xf numFmtId="166" fontId="30" fillId="0" borderId="0" xfId="9" applyFont="1" applyBorder="1" applyAlignment="1">
      <alignment horizontal="left"/>
    </xf>
    <xf numFmtId="0" fontId="32" fillId="0" borderId="0" xfId="8" applyFont="1" applyAlignment="1">
      <alignment horizontal="left"/>
    </xf>
    <xf numFmtId="0" fontId="33" fillId="0" borderId="0" xfId="0" applyFont="1"/>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cellXfs>
  <cellStyles count="13">
    <cellStyle name="Collegamento ipertestuale" xfId="1" builtinId="8" customBuiltin="1"/>
    <cellStyle name="Date" xfId="10" xr:uid="{229918B6-DD13-4F5A-97B9-305F7E002AA3}"/>
    <cellStyle name="Migliaia" xfId="4" builtinId="3" customBuiltin="1"/>
    <cellStyle name="Name" xfId="11" xr:uid="{B2D3C1EE-6B41-4801-AAFC-C2274E49E503}"/>
    <cellStyle name="Normale" xfId="0" builtinId="0"/>
    <cellStyle name="Percentuale" xfId="2" builtinId="5"/>
    <cellStyle name="Project Start" xfId="9" xr:uid="{8EB8A09A-C31C-40A3-B2C1-9449520178B8}"/>
    <cellStyle name="Task" xfId="12" xr:uid="{6391D789-272B-4DD2-9BF3-2CDCF610FA41}"/>
    <cellStyle name="Titolo" xfId="5" builtinId="15" customBuiltin="1"/>
    <cellStyle name="Titolo 1" xfId="6" builtinId="16" customBuiltin="1"/>
    <cellStyle name="Titolo 2" xfId="7" builtinId="17" customBuiltin="1"/>
    <cellStyle name="Titolo 3" xfId="8" builtinId="18"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1F9D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Q36"/>
  <sheetViews>
    <sheetView showGridLines="0" tabSelected="1" showRuler="0" topLeftCell="A13" zoomScale="85" zoomScaleNormal="85" zoomScalePageLayoutView="70" workbookViewId="0">
      <selection activeCell="B1" sqref="B1"/>
    </sheetView>
  </sheetViews>
  <sheetFormatPr defaultColWidth="8.69921875" defaultRowHeight="30" customHeight="1" x14ac:dyDescent="0.25"/>
  <cols>
    <col min="1" max="1" width="2.69921875" style="13" customWidth="1"/>
    <col min="2" max="2" width="85.69921875" bestFit="1"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 min="67" max="67" width="17.59765625" customWidth="1"/>
    <col min="68" max="68" width="22.09765625" customWidth="1"/>
  </cols>
  <sheetData>
    <row r="1" spans="1:69" ht="90" customHeight="1" x14ac:dyDescent="1.45">
      <c r="A1" s="14"/>
      <c r="B1" s="118" t="s">
        <v>53</v>
      </c>
      <c r="C1" s="18"/>
      <c r="D1" s="19"/>
      <c r="E1" s="20"/>
      <c r="F1" s="21"/>
      <c r="H1" s="1"/>
      <c r="I1" s="135" t="s">
        <v>45</v>
      </c>
      <c r="J1" s="136"/>
      <c r="K1" s="136"/>
      <c r="L1" s="136"/>
      <c r="M1" s="136"/>
      <c r="N1" s="136"/>
      <c r="O1" s="136"/>
      <c r="P1" s="24"/>
      <c r="Q1" s="134">
        <v>45931</v>
      </c>
      <c r="R1" s="133"/>
      <c r="S1" s="133"/>
      <c r="T1" s="133"/>
      <c r="U1" s="133"/>
      <c r="V1" s="133"/>
      <c r="W1" s="133"/>
      <c r="X1" s="133"/>
      <c r="Y1" s="133"/>
      <c r="Z1" s="133"/>
    </row>
    <row r="2" spans="1:69" ht="30" customHeight="1" x14ac:dyDescent="0.6">
      <c r="B2" s="120" t="s">
        <v>21</v>
      </c>
      <c r="C2" s="119" t="s">
        <v>22</v>
      </c>
      <c r="D2" s="22"/>
      <c r="E2" s="23"/>
      <c r="F2" s="22"/>
      <c r="I2" s="135" t="s">
        <v>46</v>
      </c>
      <c r="J2" s="136"/>
      <c r="K2" s="136"/>
      <c r="L2" s="136"/>
      <c r="M2" s="136"/>
      <c r="N2" s="136"/>
      <c r="O2" s="136"/>
      <c r="P2" s="24"/>
      <c r="Q2" s="132">
        <v>1</v>
      </c>
      <c r="R2" s="133"/>
      <c r="S2" s="133"/>
      <c r="T2" s="133"/>
      <c r="U2" s="133"/>
      <c r="V2" s="133"/>
      <c r="W2" s="133"/>
      <c r="X2" s="133"/>
      <c r="Y2" s="133"/>
      <c r="Z2" s="133"/>
    </row>
    <row r="3" spans="1:69" s="26" customFormat="1" ht="30" customHeight="1" x14ac:dyDescent="0.25">
      <c r="A3" s="13"/>
      <c r="B3" s="25" t="s">
        <v>8</v>
      </c>
      <c r="D3" s="27"/>
      <c r="E3" s="28"/>
    </row>
    <row r="4" spans="1:69" s="26" customFormat="1" ht="30" customHeight="1" x14ac:dyDescent="0.25">
      <c r="A4" s="14"/>
      <c r="B4" s="29" t="s">
        <v>13</v>
      </c>
      <c r="E4" s="30"/>
      <c r="I4" s="139">
        <f>I5</f>
        <v>45929</v>
      </c>
      <c r="J4" s="137"/>
      <c r="K4" s="137"/>
      <c r="L4" s="137"/>
      <c r="M4" s="137"/>
      <c r="N4" s="137"/>
      <c r="O4" s="137"/>
      <c r="P4" s="137">
        <f>P5</f>
        <v>45936</v>
      </c>
      <c r="Q4" s="137"/>
      <c r="R4" s="137"/>
      <c r="S4" s="137"/>
      <c r="T4" s="137"/>
      <c r="U4" s="137"/>
      <c r="V4" s="137"/>
      <c r="W4" s="137">
        <f>W5</f>
        <v>45943</v>
      </c>
      <c r="X4" s="137"/>
      <c r="Y4" s="137"/>
      <c r="Z4" s="137"/>
      <c r="AA4" s="137"/>
      <c r="AB4" s="137"/>
      <c r="AC4" s="137"/>
      <c r="AD4" s="137">
        <f>AD5</f>
        <v>45950</v>
      </c>
      <c r="AE4" s="137"/>
      <c r="AF4" s="137"/>
      <c r="AG4" s="137"/>
      <c r="AH4" s="137"/>
      <c r="AI4" s="137"/>
      <c r="AJ4" s="137"/>
      <c r="AK4" s="137">
        <f>AK5</f>
        <v>45957</v>
      </c>
      <c r="AL4" s="137"/>
      <c r="AM4" s="137"/>
      <c r="AN4" s="137"/>
      <c r="AO4" s="137"/>
      <c r="AP4" s="137"/>
      <c r="AQ4" s="137"/>
      <c r="AR4" s="137">
        <f>AR5</f>
        <v>45964</v>
      </c>
      <c r="AS4" s="137"/>
      <c r="AT4" s="137"/>
      <c r="AU4" s="137"/>
      <c r="AV4" s="137"/>
      <c r="AW4" s="137"/>
      <c r="AX4" s="137"/>
      <c r="AY4" s="137">
        <f>AY5</f>
        <v>45971</v>
      </c>
      <c r="AZ4" s="137"/>
      <c r="BA4" s="137"/>
      <c r="BB4" s="137"/>
      <c r="BC4" s="137"/>
      <c r="BD4" s="137"/>
      <c r="BE4" s="137"/>
      <c r="BF4" s="137">
        <f>BF5</f>
        <v>45978</v>
      </c>
      <c r="BG4" s="137"/>
      <c r="BH4" s="137"/>
      <c r="BI4" s="137"/>
      <c r="BJ4" s="137"/>
      <c r="BK4" s="137"/>
      <c r="BL4" s="138"/>
    </row>
    <row r="5" spans="1:69" s="26" customFormat="1" ht="15" customHeight="1" x14ac:dyDescent="0.25">
      <c r="A5" s="126"/>
      <c r="B5" s="127" t="s">
        <v>5</v>
      </c>
      <c r="C5" s="129" t="s">
        <v>47</v>
      </c>
      <c r="D5" s="131" t="s">
        <v>1</v>
      </c>
      <c r="E5" s="131" t="s">
        <v>3</v>
      </c>
      <c r="F5" s="131" t="s">
        <v>4</v>
      </c>
      <c r="I5" s="31">
        <f>Project_Start-WEEKDAY(Project_Start,1)+2+7*(Display_Week-1)</f>
        <v>45929</v>
      </c>
      <c r="J5" s="31">
        <f>I5+1</f>
        <v>45930</v>
      </c>
      <c r="K5" s="31">
        <f t="shared" ref="K5:AX5" si="0">J5+1</f>
        <v>45931</v>
      </c>
      <c r="L5" s="31">
        <f t="shared" si="0"/>
        <v>45932</v>
      </c>
      <c r="M5" s="31">
        <f t="shared" si="0"/>
        <v>45933</v>
      </c>
      <c r="N5" s="31">
        <f t="shared" si="0"/>
        <v>45934</v>
      </c>
      <c r="O5" s="32">
        <f t="shared" si="0"/>
        <v>45935</v>
      </c>
      <c r="P5" s="33">
        <f>O5+1</f>
        <v>45936</v>
      </c>
      <c r="Q5" s="31">
        <f>P5+1</f>
        <v>45937</v>
      </c>
      <c r="R5" s="31">
        <f t="shared" si="0"/>
        <v>45938</v>
      </c>
      <c r="S5" s="31">
        <f t="shared" si="0"/>
        <v>45939</v>
      </c>
      <c r="T5" s="31">
        <f t="shared" si="0"/>
        <v>45940</v>
      </c>
      <c r="U5" s="31">
        <f t="shared" si="0"/>
        <v>45941</v>
      </c>
      <c r="V5" s="32">
        <f t="shared" si="0"/>
        <v>45942</v>
      </c>
      <c r="W5" s="33">
        <f>V5+1</f>
        <v>45943</v>
      </c>
      <c r="X5" s="31">
        <f>W5+1</f>
        <v>45944</v>
      </c>
      <c r="Y5" s="31">
        <f t="shared" si="0"/>
        <v>45945</v>
      </c>
      <c r="Z5" s="31">
        <f t="shared" si="0"/>
        <v>45946</v>
      </c>
      <c r="AA5" s="31">
        <f t="shared" si="0"/>
        <v>45947</v>
      </c>
      <c r="AB5" s="31">
        <f t="shared" si="0"/>
        <v>45948</v>
      </c>
      <c r="AC5" s="32">
        <f t="shared" si="0"/>
        <v>45949</v>
      </c>
      <c r="AD5" s="33">
        <f>AC5+1</f>
        <v>45950</v>
      </c>
      <c r="AE5" s="31">
        <f>AD5+1</f>
        <v>45951</v>
      </c>
      <c r="AF5" s="31">
        <f t="shared" si="0"/>
        <v>45952</v>
      </c>
      <c r="AG5" s="31">
        <f t="shared" si="0"/>
        <v>45953</v>
      </c>
      <c r="AH5" s="31">
        <f t="shared" si="0"/>
        <v>45954</v>
      </c>
      <c r="AI5" s="31">
        <f t="shared" si="0"/>
        <v>45955</v>
      </c>
      <c r="AJ5" s="32">
        <f t="shared" si="0"/>
        <v>45956</v>
      </c>
      <c r="AK5" s="33">
        <f>AJ5+1</f>
        <v>45957</v>
      </c>
      <c r="AL5" s="31">
        <f>AK5+1</f>
        <v>45958</v>
      </c>
      <c r="AM5" s="31">
        <f t="shared" si="0"/>
        <v>45959</v>
      </c>
      <c r="AN5" s="31">
        <f t="shared" si="0"/>
        <v>45960</v>
      </c>
      <c r="AO5" s="31">
        <f t="shared" si="0"/>
        <v>45961</v>
      </c>
      <c r="AP5" s="31">
        <f t="shared" si="0"/>
        <v>45962</v>
      </c>
      <c r="AQ5" s="32">
        <f t="shared" si="0"/>
        <v>45963</v>
      </c>
      <c r="AR5" s="33">
        <f>AQ5+1</f>
        <v>45964</v>
      </c>
      <c r="AS5" s="31">
        <f>AR5+1</f>
        <v>45965</v>
      </c>
      <c r="AT5" s="31">
        <f t="shared" si="0"/>
        <v>45966</v>
      </c>
      <c r="AU5" s="31">
        <f t="shared" si="0"/>
        <v>45967</v>
      </c>
      <c r="AV5" s="31">
        <f t="shared" si="0"/>
        <v>45968</v>
      </c>
      <c r="AW5" s="31">
        <f t="shared" si="0"/>
        <v>45969</v>
      </c>
      <c r="AX5" s="32">
        <f t="shared" si="0"/>
        <v>45970</v>
      </c>
      <c r="AY5" s="33">
        <f>AX5+1</f>
        <v>45971</v>
      </c>
      <c r="AZ5" s="31">
        <f>AY5+1</f>
        <v>45972</v>
      </c>
      <c r="BA5" s="31">
        <f t="shared" ref="BA5:BE5" si="1">AZ5+1</f>
        <v>45973</v>
      </c>
      <c r="BB5" s="31">
        <f t="shared" si="1"/>
        <v>45974</v>
      </c>
      <c r="BC5" s="31">
        <f t="shared" si="1"/>
        <v>45975</v>
      </c>
      <c r="BD5" s="31">
        <f t="shared" si="1"/>
        <v>45976</v>
      </c>
      <c r="BE5" s="32">
        <f t="shared" si="1"/>
        <v>45977</v>
      </c>
      <c r="BF5" s="33">
        <f>BE5+1</f>
        <v>45978</v>
      </c>
      <c r="BG5" s="31">
        <f>BF5+1</f>
        <v>45979</v>
      </c>
      <c r="BH5" s="31">
        <f t="shared" ref="BH5:BL5" si="2">BG5+1</f>
        <v>45980</v>
      </c>
      <c r="BI5" s="31">
        <f t="shared" si="2"/>
        <v>45981</v>
      </c>
      <c r="BJ5" s="31">
        <f t="shared" si="2"/>
        <v>45982</v>
      </c>
      <c r="BK5" s="31">
        <f t="shared" si="2"/>
        <v>45983</v>
      </c>
      <c r="BL5" s="31">
        <f t="shared" si="2"/>
        <v>45984</v>
      </c>
      <c r="BO5" s="26" t="s">
        <v>49</v>
      </c>
      <c r="BQ5" s="90">
        <v>15</v>
      </c>
    </row>
    <row r="6" spans="1:69" s="26" customFormat="1" ht="15" customHeight="1" thickBot="1" x14ac:dyDescent="0.3">
      <c r="A6" s="126"/>
      <c r="B6" s="128"/>
      <c r="C6" s="130"/>
      <c r="D6" s="130"/>
      <c r="E6" s="130"/>
      <c r="F6" s="130"/>
      <c r="I6" s="34" t="str">
        <f t="shared" ref="I6:AN6" si="3">LEFT(TEXT(I5,"ddd"),1)</f>
        <v>d</v>
      </c>
      <c r="J6" s="35" t="str">
        <f t="shared" si="3"/>
        <v>d</v>
      </c>
      <c r="K6" s="35" t="str">
        <f t="shared" si="3"/>
        <v>d</v>
      </c>
      <c r="L6" s="35" t="str">
        <f t="shared" si="3"/>
        <v>d</v>
      </c>
      <c r="M6" s="35" t="str">
        <f t="shared" si="3"/>
        <v>d</v>
      </c>
      <c r="N6" s="35" t="str">
        <f t="shared" si="3"/>
        <v>d</v>
      </c>
      <c r="O6" s="35" t="str">
        <f t="shared" si="3"/>
        <v>d</v>
      </c>
      <c r="P6" s="35" t="str">
        <f t="shared" si="3"/>
        <v>d</v>
      </c>
      <c r="Q6" s="35" t="str">
        <f t="shared" si="3"/>
        <v>d</v>
      </c>
      <c r="R6" s="35" t="str">
        <f t="shared" si="3"/>
        <v>d</v>
      </c>
      <c r="S6" s="35" t="str">
        <f t="shared" si="3"/>
        <v>d</v>
      </c>
      <c r="T6" s="35" t="str">
        <f t="shared" si="3"/>
        <v>d</v>
      </c>
      <c r="U6" s="35" t="str">
        <f t="shared" si="3"/>
        <v>d</v>
      </c>
      <c r="V6" s="35" t="str">
        <f t="shared" si="3"/>
        <v>d</v>
      </c>
      <c r="W6" s="35" t="str">
        <f t="shared" si="3"/>
        <v>d</v>
      </c>
      <c r="X6" s="35" t="str">
        <f t="shared" si="3"/>
        <v>d</v>
      </c>
      <c r="Y6" s="35" t="str">
        <f t="shared" si="3"/>
        <v>d</v>
      </c>
      <c r="Z6" s="35" t="str">
        <f t="shared" si="3"/>
        <v>d</v>
      </c>
      <c r="AA6" s="35" t="str">
        <f t="shared" si="3"/>
        <v>d</v>
      </c>
      <c r="AB6" s="35" t="str">
        <f t="shared" si="3"/>
        <v>d</v>
      </c>
      <c r="AC6" s="35" t="str">
        <f t="shared" si="3"/>
        <v>d</v>
      </c>
      <c r="AD6" s="35" t="str">
        <f t="shared" si="3"/>
        <v>d</v>
      </c>
      <c r="AE6" s="35" t="str">
        <f t="shared" si="3"/>
        <v>d</v>
      </c>
      <c r="AF6" s="35" t="str">
        <f t="shared" si="3"/>
        <v>d</v>
      </c>
      <c r="AG6" s="35" t="str">
        <f t="shared" si="3"/>
        <v>d</v>
      </c>
      <c r="AH6" s="35" t="str">
        <f t="shared" si="3"/>
        <v>d</v>
      </c>
      <c r="AI6" s="35" t="str">
        <f t="shared" si="3"/>
        <v>d</v>
      </c>
      <c r="AJ6" s="35" t="str">
        <f t="shared" si="3"/>
        <v>d</v>
      </c>
      <c r="AK6" s="35" t="str">
        <f t="shared" si="3"/>
        <v>d</v>
      </c>
      <c r="AL6" s="35" t="str">
        <f t="shared" si="3"/>
        <v>d</v>
      </c>
      <c r="AM6" s="35" t="str">
        <f t="shared" si="3"/>
        <v>d</v>
      </c>
      <c r="AN6" s="35" t="str">
        <f t="shared" si="3"/>
        <v>d</v>
      </c>
      <c r="AO6" s="35" t="str">
        <f t="shared" ref="AO6:BL6" si="4">LEFT(TEXT(AO5,"ddd"),1)</f>
        <v>d</v>
      </c>
      <c r="AP6" s="35" t="str">
        <f t="shared" si="4"/>
        <v>d</v>
      </c>
      <c r="AQ6" s="35" t="str">
        <f t="shared" si="4"/>
        <v>d</v>
      </c>
      <c r="AR6" s="35" t="str">
        <f t="shared" si="4"/>
        <v>d</v>
      </c>
      <c r="AS6" s="35" t="str">
        <f t="shared" si="4"/>
        <v>d</v>
      </c>
      <c r="AT6" s="35" t="str">
        <f t="shared" si="4"/>
        <v>d</v>
      </c>
      <c r="AU6" s="35" t="str">
        <f t="shared" si="4"/>
        <v>d</v>
      </c>
      <c r="AV6" s="35" t="str">
        <f t="shared" si="4"/>
        <v>d</v>
      </c>
      <c r="AW6" s="35" t="str">
        <f t="shared" si="4"/>
        <v>d</v>
      </c>
      <c r="AX6" s="35" t="str">
        <f t="shared" si="4"/>
        <v>d</v>
      </c>
      <c r="AY6" s="35" t="str">
        <f t="shared" si="4"/>
        <v>d</v>
      </c>
      <c r="AZ6" s="35" t="str">
        <f t="shared" si="4"/>
        <v>d</v>
      </c>
      <c r="BA6" s="35" t="str">
        <f t="shared" si="4"/>
        <v>d</v>
      </c>
      <c r="BB6" s="35" t="str">
        <f t="shared" si="4"/>
        <v>d</v>
      </c>
      <c r="BC6" s="35" t="str">
        <f t="shared" si="4"/>
        <v>d</v>
      </c>
      <c r="BD6" s="35" t="str">
        <f t="shared" si="4"/>
        <v>d</v>
      </c>
      <c r="BE6" s="35" t="str">
        <f t="shared" si="4"/>
        <v>d</v>
      </c>
      <c r="BF6" s="35" t="str">
        <f t="shared" si="4"/>
        <v>d</v>
      </c>
      <c r="BG6" s="35" t="str">
        <f t="shared" si="4"/>
        <v>d</v>
      </c>
      <c r="BH6" s="35" t="str">
        <f t="shared" si="4"/>
        <v>d</v>
      </c>
      <c r="BI6" s="35" t="str">
        <f t="shared" si="4"/>
        <v>d</v>
      </c>
      <c r="BJ6" s="35" t="str">
        <f t="shared" si="4"/>
        <v>d</v>
      </c>
      <c r="BK6" s="35" t="str">
        <f t="shared" si="4"/>
        <v>d</v>
      </c>
      <c r="BL6" s="36" t="str">
        <f t="shared" si="4"/>
        <v>d</v>
      </c>
    </row>
    <row r="7" spans="1:69" s="26" customFormat="1" ht="30" hidden="1" customHeight="1" thickBot="1" x14ac:dyDescent="0.3">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9" s="41" customFormat="1" ht="30" customHeight="1" thickBot="1" x14ac:dyDescent="0.3">
      <c r="A8" s="14"/>
      <c r="B8" s="93" t="s">
        <v>23</v>
      </c>
      <c r="C8" s="94"/>
      <c r="D8" s="95"/>
      <c r="E8" s="96"/>
      <c r="F8" s="97"/>
      <c r="G8" s="17"/>
      <c r="H8" s="5" t="str">
        <f t="shared" ref="H8:H33"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9" s="41" customFormat="1" ht="30" customHeight="1" thickBot="1" x14ac:dyDescent="0.3">
      <c r="A9" s="14"/>
      <c r="B9" s="98" t="s">
        <v>24</v>
      </c>
      <c r="C9" s="99" t="s">
        <v>50</v>
      </c>
      <c r="D9" s="100">
        <v>0.1</v>
      </c>
      <c r="E9" s="101">
        <f>Project_Start</f>
        <v>45931</v>
      </c>
      <c r="F9" s="101">
        <f>E9+196</f>
        <v>46127</v>
      </c>
      <c r="G9" s="17"/>
      <c r="H9" s="5">
        <f t="shared" si="5"/>
        <v>197</v>
      </c>
      <c r="I9" s="42"/>
      <c r="J9" s="42"/>
      <c r="K9" s="42"/>
      <c r="L9" s="42"/>
      <c r="M9" s="42"/>
      <c r="N9" s="124"/>
      <c r="O9" s="121"/>
      <c r="P9" s="122"/>
      <c r="Q9" s="12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O9" s="41">
        <v>14</v>
      </c>
      <c r="BQ9" s="91">
        <f>BO9*BQ5</f>
        <v>210</v>
      </c>
    </row>
    <row r="10" spans="1:69" s="41" customFormat="1" ht="30" customHeight="1" thickBot="1" x14ac:dyDescent="0.3">
      <c r="A10" s="14"/>
      <c r="B10" s="102" t="s">
        <v>25</v>
      </c>
      <c r="C10" s="103" t="s">
        <v>51</v>
      </c>
      <c r="D10" s="104">
        <v>0.5</v>
      </c>
      <c r="E10" s="125">
        <f>F9</f>
        <v>46127</v>
      </c>
      <c r="F10" s="105">
        <f>E10+2</f>
        <v>46129</v>
      </c>
      <c r="G10" s="17"/>
      <c r="H10" s="5">
        <f t="shared" si="5"/>
        <v>3</v>
      </c>
      <c r="I10" s="42"/>
      <c r="J10" s="42"/>
      <c r="K10" s="42"/>
      <c r="L10" s="42"/>
      <c r="M10" s="42"/>
      <c r="N10" s="123"/>
      <c r="O10" s="123"/>
      <c r="P10" s="123"/>
      <c r="Q10" s="42"/>
      <c r="R10" s="42"/>
      <c r="S10" s="42"/>
      <c r="T10" s="42"/>
      <c r="U10" s="43"/>
      <c r="V10" s="43"/>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row>
    <row r="11" spans="1:69" s="41" customFormat="1" ht="30" customHeight="1" thickBot="1" x14ac:dyDescent="0.3">
      <c r="A11" s="13"/>
      <c r="B11" s="106" t="s">
        <v>26</v>
      </c>
      <c r="C11" s="107" t="s">
        <v>51</v>
      </c>
      <c r="D11" s="108">
        <v>0.5</v>
      </c>
      <c r="E11" s="109">
        <f>F10</f>
        <v>46129</v>
      </c>
      <c r="F11" s="109">
        <f>E11+4</f>
        <v>46133</v>
      </c>
      <c r="G11" s="17"/>
      <c r="H11" s="5">
        <f t="shared" si="5"/>
        <v>5</v>
      </c>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9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row>
    <row r="12" spans="1:69" s="41" customFormat="1" ht="30" customHeight="1" thickBot="1" x14ac:dyDescent="0.3">
      <c r="A12" s="13"/>
      <c r="B12" s="110" t="s">
        <v>27</v>
      </c>
      <c r="C12" s="111" t="s">
        <v>52</v>
      </c>
      <c r="D12" s="112">
        <v>0.25</v>
      </c>
      <c r="E12" s="113">
        <f>F11</f>
        <v>46133</v>
      </c>
      <c r="F12" s="113">
        <f>E12+5</f>
        <v>46138</v>
      </c>
      <c r="G12" s="17"/>
      <c r="H12" s="5">
        <f t="shared" si="5"/>
        <v>6</v>
      </c>
      <c r="I12" s="42"/>
      <c r="J12" s="42"/>
      <c r="K12" s="42"/>
      <c r="L12" s="42"/>
      <c r="M12" s="92"/>
      <c r="N12" s="42"/>
      <c r="O12" s="42"/>
      <c r="P12" s="42"/>
      <c r="Q12" s="42"/>
      <c r="R12" s="42"/>
      <c r="S12" s="42"/>
      <c r="T12" s="42"/>
      <c r="U12" s="42"/>
      <c r="V12" s="42"/>
      <c r="W12" s="42"/>
      <c r="X12" s="42"/>
      <c r="Y12" s="43"/>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row>
    <row r="13" spans="1:69" s="41" customFormat="1" ht="30" customHeight="1" thickBot="1" x14ac:dyDescent="0.3">
      <c r="A13" s="13"/>
      <c r="B13" s="114" t="s">
        <v>28</v>
      </c>
      <c r="C13" s="115" t="s">
        <v>52</v>
      </c>
      <c r="D13" s="116"/>
      <c r="E13" s="117">
        <f>E10+1</f>
        <v>46128</v>
      </c>
      <c r="F13" s="117">
        <f>E13+2</f>
        <v>46130</v>
      </c>
      <c r="G13" s="17"/>
      <c r="H13" s="5">
        <f t="shared" si="5"/>
        <v>3</v>
      </c>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row>
    <row r="14" spans="1:69" s="41" customFormat="1" ht="30" customHeight="1" thickBot="1" x14ac:dyDescent="0.3">
      <c r="A14" s="14"/>
      <c r="B14" s="44" t="s">
        <v>29</v>
      </c>
      <c r="C14" s="45"/>
      <c r="D14" s="46"/>
      <c r="E14" s="47"/>
      <c r="F14" s="48"/>
      <c r="G14" s="17"/>
      <c r="H14" s="5" t="str">
        <f t="shared" si="5"/>
        <v/>
      </c>
    </row>
    <row r="15" spans="1:69" s="41" customFormat="1" ht="30" customHeight="1" thickBot="1" x14ac:dyDescent="0.3">
      <c r="A15" s="14"/>
      <c r="B15" s="49" t="s">
        <v>30</v>
      </c>
      <c r="C15" s="50" t="s">
        <v>50</v>
      </c>
      <c r="D15" s="51">
        <v>0.5</v>
      </c>
      <c r="E15" s="52">
        <f>E13+1</f>
        <v>46129</v>
      </c>
      <c r="F15" s="52">
        <f>E15+4</f>
        <v>46133</v>
      </c>
      <c r="G15" s="17"/>
      <c r="H15" s="5">
        <f t="shared" si="5"/>
        <v>5</v>
      </c>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row>
    <row r="16" spans="1:69" s="41" customFormat="1" ht="30" customHeight="1" thickBot="1" x14ac:dyDescent="0.3">
      <c r="A16" s="13"/>
      <c r="B16" s="49" t="s">
        <v>31</v>
      </c>
      <c r="C16" s="50" t="s">
        <v>52</v>
      </c>
      <c r="D16" s="51">
        <v>0.5</v>
      </c>
      <c r="E16" s="52">
        <f>E15+2</f>
        <v>46131</v>
      </c>
      <c r="F16" s="52">
        <f>E16+5</f>
        <v>46136</v>
      </c>
      <c r="G16" s="17"/>
      <c r="H16" s="5">
        <f t="shared" si="5"/>
        <v>6</v>
      </c>
      <c r="I16" s="42"/>
      <c r="J16" s="42"/>
      <c r="K16" s="42"/>
      <c r="L16" s="42"/>
      <c r="M16" s="42"/>
      <c r="N16" s="42"/>
      <c r="O16" s="42"/>
      <c r="P16" s="42"/>
      <c r="Q16" s="42"/>
      <c r="R16" s="42"/>
      <c r="S16" s="42"/>
      <c r="T16" s="42"/>
      <c r="U16" s="43"/>
      <c r="V16" s="43"/>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row>
    <row r="17" spans="1:64" s="41" customFormat="1" ht="30" customHeight="1" thickBot="1" x14ac:dyDescent="0.3">
      <c r="A17" s="13"/>
      <c r="B17" s="49" t="s">
        <v>32</v>
      </c>
      <c r="C17" s="50" t="s">
        <v>52</v>
      </c>
      <c r="D17" s="51"/>
      <c r="E17" s="52">
        <f>F16</f>
        <v>46136</v>
      </c>
      <c r="F17" s="52">
        <f>E17+3</f>
        <v>46139</v>
      </c>
      <c r="G17" s="17"/>
      <c r="H17" s="5">
        <f t="shared" si="5"/>
        <v>4</v>
      </c>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row>
    <row r="18" spans="1:64" s="41" customFormat="1" ht="30" customHeight="1" thickBot="1" x14ac:dyDescent="0.3">
      <c r="A18" s="13"/>
      <c r="B18" s="49" t="s">
        <v>33</v>
      </c>
      <c r="C18" s="50" t="s">
        <v>51</v>
      </c>
      <c r="D18" s="51"/>
      <c r="E18" s="52">
        <f>E17</f>
        <v>46136</v>
      </c>
      <c r="F18" s="52">
        <f>E18+2</f>
        <v>46138</v>
      </c>
      <c r="G18" s="17"/>
      <c r="H18" s="5">
        <f t="shared" si="5"/>
        <v>3</v>
      </c>
      <c r="I18" s="42"/>
      <c r="J18" s="42"/>
      <c r="K18" s="42"/>
      <c r="L18" s="42"/>
      <c r="M18" s="42"/>
      <c r="N18" s="42"/>
      <c r="O18" s="42"/>
      <c r="P18" s="42"/>
      <c r="Q18" s="42"/>
      <c r="R18" s="42"/>
      <c r="S18" s="42"/>
      <c r="T18" s="42"/>
      <c r="U18" s="42"/>
      <c r="V18" s="42"/>
      <c r="W18" s="42"/>
      <c r="X18" s="42"/>
      <c r="Y18" s="43"/>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row>
    <row r="19" spans="1:64" s="41" customFormat="1" ht="30" customHeight="1" thickBot="1" x14ac:dyDescent="0.3">
      <c r="A19" s="13"/>
      <c r="B19" s="49" t="s">
        <v>34</v>
      </c>
      <c r="C19" s="50" t="s">
        <v>50</v>
      </c>
      <c r="D19" s="51"/>
      <c r="E19" s="52">
        <f>E18</f>
        <v>46136</v>
      </c>
      <c r="F19" s="52">
        <f>E19+3</f>
        <v>46139</v>
      </c>
      <c r="G19" s="17"/>
      <c r="H19" s="5">
        <f t="shared" si="5"/>
        <v>4</v>
      </c>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row>
    <row r="20" spans="1:64" s="41" customFormat="1" ht="30" customHeight="1" thickBot="1" x14ac:dyDescent="0.3">
      <c r="A20" s="13"/>
      <c r="B20" s="53" t="s">
        <v>35</v>
      </c>
      <c r="C20" s="54"/>
      <c r="D20" s="55"/>
      <c r="E20" s="56"/>
      <c r="F20" s="57"/>
      <c r="G20" s="17"/>
      <c r="H20" s="5" t="str">
        <f t="shared" si="5"/>
        <v/>
      </c>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row>
    <row r="21" spans="1:64" s="41" customFormat="1" ht="30" customHeight="1" thickBot="1" x14ac:dyDescent="0.3">
      <c r="A21" s="13"/>
      <c r="B21" s="59" t="s">
        <v>36</v>
      </c>
      <c r="C21" s="60" t="s">
        <v>52</v>
      </c>
      <c r="D21" s="61">
        <v>0.5</v>
      </c>
      <c r="E21" s="62">
        <f>E9+15</f>
        <v>45946</v>
      </c>
      <c r="F21" s="62">
        <f>E21+5</f>
        <v>45951</v>
      </c>
      <c r="G21" s="17"/>
      <c r="H21" s="5">
        <f t="shared" si="5"/>
        <v>6</v>
      </c>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row>
    <row r="22" spans="1:64" s="41" customFormat="1" ht="30" customHeight="1" thickBot="1" x14ac:dyDescent="0.3">
      <c r="A22" s="13"/>
      <c r="B22" s="59" t="s">
        <v>37</v>
      </c>
      <c r="C22" s="60" t="s">
        <v>52</v>
      </c>
      <c r="D22" s="61">
        <v>0.6</v>
      </c>
      <c r="E22" s="62">
        <f>F21+1</f>
        <v>45952</v>
      </c>
      <c r="F22" s="62">
        <f>E22+4</f>
        <v>45956</v>
      </c>
      <c r="G22" s="17"/>
      <c r="H22" s="5">
        <f t="shared" si="5"/>
        <v>5</v>
      </c>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row>
    <row r="23" spans="1:64" s="41" customFormat="1" ht="30" customHeight="1" thickBot="1" x14ac:dyDescent="0.3">
      <c r="A23" s="13"/>
      <c r="B23" s="59" t="s">
        <v>38</v>
      </c>
      <c r="C23" s="60" t="s">
        <v>50</v>
      </c>
      <c r="D23" s="61">
        <v>0.5</v>
      </c>
      <c r="E23" s="62">
        <f>E22+5</f>
        <v>45957</v>
      </c>
      <c r="F23" s="62">
        <f>E23+5</f>
        <v>45962</v>
      </c>
      <c r="G23" s="17"/>
      <c r="H23" s="5">
        <f t="shared" si="5"/>
        <v>6</v>
      </c>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row>
    <row r="24" spans="1:64" s="41" customFormat="1" ht="30" customHeight="1" thickBot="1" x14ac:dyDescent="0.3">
      <c r="A24" s="13"/>
      <c r="B24" s="59" t="s">
        <v>39</v>
      </c>
      <c r="C24" s="60" t="s">
        <v>51</v>
      </c>
      <c r="D24" s="61">
        <v>0.25</v>
      </c>
      <c r="E24" s="62">
        <f>F23+1</f>
        <v>45963</v>
      </c>
      <c r="F24" s="62">
        <f>E24+4</f>
        <v>45967</v>
      </c>
      <c r="G24" s="17"/>
      <c r="H24" s="5">
        <f t="shared" si="5"/>
        <v>5</v>
      </c>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row>
    <row r="25" spans="1:64" s="41" customFormat="1" ht="30" customHeight="1" thickBot="1" x14ac:dyDescent="0.3">
      <c r="A25" s="13"/>
      <c r="B25" s="59" t="s">
        <v>40</v>
      </c>
      <c r="C25" s="60" t="s">
        <v>51</v>
      </c>
      <c r="D25" s="61">
        <v>0.25</v>
      </c>
      <c r="E25" s="62">
        <f>E23</f>
        <v>45957</v>
      </c>
      <c r="F25" s="62">
        <f>E25+4</f>
        <v>45961</v>
      </c>
      <c r="G25" s="17"/>
      <c r="H25" s="5">
        <f t="shared" si="5"/>
        <v>5</v>
      </c>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row>
    <row r="26" spans="1:64" s="41" customFormat="1" ht="30" customHeight="1" thickBot="1" x14ac:dyDescent="0.3">
      <c r="A26" s="13"/>
      <c r="B26" s="63" t="s">
        <v>48</v>
      </c>
      <c r="C26" s="64"/>
      <c r="D26" s="65"/>
      <c r="E26" s="66"/>
      <c r="F26" s="67"/>
      <c r="G26" s="17"/>
      <c r="H26" s="5" t="str">
        <f t="shared" si="5"/>
        <v/>
      </c>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row>
    <row r="27" spans="1:64" s="41" customFormat="1" ht="30" customHeight="1" thickBot="1" x14ac:dyDescent="0.3">
      <c r="A27" s="13"/>
      <c r="B27" s="69" t="s">
        <v>37</v>
      </c>
      <c r="C27" s="70" t="s">
        <v>52</v>
      </c>
      <c r="D27" s="71">
        <v>0.25</v>
      </c>
      <c r="E27" s="72">
        <f>E21+2</f>
        <v>45948</v>
      </c>
      <c r="F27" s="72">
        <f>E27+3</f>
        <v>45951</v>
      </c>
      <c r="G27" s="17"/>
      <c r="H27" s="5">
        <f t="shared" si="5"/>
        <v>4</v>
      </c>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row>
    <row r="28" spans="1:64" s="41" customFormat="1" ht="30" customHeight="1" thickBot="1" x14ac:dyDescent="0.3">
      <c r="A28" s="13"/>
      <c r="B28" s="69" t="s">
        <v>41</v>
      </c>
      <c r="C28" s="70" t="s">
        <v>52</v>
      </c>
      <c r="D28" s="71">
        <v>0</v>
      </c>
      <c r="E28" s="72">
        <f>F27</f>
        <v>45951</v>
      </c>
      <c r="F28" s="72">
        <f>E28+4</f>
        <v>45955</v>
      </c>
      <c r="G28" s="17"/>
      <c r="H28" s="5">
        <f t="shared" si="5"/>
        <v>5</v>
      </c>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row>
    <row r="29" spans="1:64" s="41" customFormat="1" ht="30" customHeight="1" thickBot="1" x14ac:dyDescent="0.3">
      <c r="A29" s="13"/>
      <c r="B29" s="69" t="s">
        <v>42</v>
      </c>
      <c r="C29" s="70" t="s">
        <v>52</v>
      </c>
      <c r="D29" s="71">
        <v>0.5</v>
      </c>
      <c r="E29" s="72">
        <f>F28+1</f>
        <v>45956</v>
      </c>
      <c r="F29" s="72">
        <f>E29+3</f>
        <v>45959</v>
      </c>
      <c r="G29" s="17"/>
      <c r="H29" s="5">
        <f t="shared" si="5"/>
        <v>4</v>
      </c>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row>
    <row r="30" spans="1:64" s="41" customFormat="1" ht="30" customHeight="1" thickBot="1" x14ac:dyDescent="0.3">
      <c r="A30" s="13"/>
      <c r="B30" s="69" t="s">
        <v>43</v>
      </c>
      <c r="C30" s="70" t="s">
        <v>52</v>
      </c>
      <c r="D30" s="71">
        <v>0</v>
      </c>
      <c r="E30" s="72">
        <f>E27+5</f>
        <v>45953</v>
      </c>
      <c r="F30" s="72">
        <f>E30+3</f>
        <v>45956</v>
      </c>
      <c r="G30" s="17"/>
      <c r="H30" s="5">
        <f t="shared" si="5"/>
        <v>4</v>
      </c>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row>
    <row r="31" spans="1:64" s="41" customFormat="1" ht="30" customHeight="1" thickBot="1" x14ac:dyDescent="0.3">
      <c r="A31" s="13"/>
      <c r="B31" s="69" t="s">
        <v>44</v>
      </c>
      <c r="C31" s="70" t="s">
        <v>51</v>
      </c>
      <c r="D31" s="71">
        <v>0.05</v>
      </c>
      <c r="E31" s="72">
        <f>E27+7</f>
        <v>45955</v>
      </c>
      <c r="F31" s="72">
        <f>E31+5</f>
        <v>45960</v>
      </c>
      <c r="G31" s="17"/>
      <c r="H31" s="5">
        <f t="shared" si="5"/>
        <v>6</v>
      </c>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row>
    <row r="32" spans="1:64" s="41" customFormat="1" ht="30" customHeight="1" thickBot="1" x14ac:dyDescent="0.3">
      <c r="A32" s="13"/>
      <c r="B32" s="73"/>
      <c r="C32" s="74"/>
      <c r="D32" s="75"/>
      <c r="E32" s="76"/>
      <c r="F32" s="76"/>
      <c r="G32" s="17"/>
      <c r="H32" s="5" t="str">
        <f t="shared" si="5"/>
        <v/>
      </c>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row>
    <row r="33" spans="1:64" s="41" customFormat="1" ht="30" customHeight="1" thickBot="1" x14ac:dyDescent="0.3">
      <c r="A33" s="14"/>
      <c r="B33" s="77" t="s">
        <v>0</v>
      </c>
      <c r="C33" s="78"/>
      <c r="D33" s="79"/>
      <c r="E33" s="80"/>
      <c r="F33" s="81"/>
      <c r="G33" s="17"/>
      <c r="H33" s="6" t="str">
        <f t="shared" si="5"/>
        <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ht="30" customHeight="1" x14ac:dyDescent="0.25">
      <c r="G34" s="3"/>
    </row>
    <row r="35" spans="1:64" ht="30" customHeight="1" x14ac:dyDescent="0.25">
      <c r="C35" s="16"/>
      <c r="F35" s="15"/>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83" t="s">
        <v>8</v>
      </c>
      <c r="B2" s="8"/>
    </row>
    <row r="3" spans="1:2" s="11" customFormat="1" ht="27" customHeight="1" x14ac:dyDescent="0.25">
      <c r="A3" s="84"/>
      <c r="B3" s="12"/>
    </row>
    <row r="4" spans="1:2" s="10" customFormat="1" ht="30" x14ac:dyDescent="0.7">
      <c r="A4" s="85" t="s">
        <v>7</v>
      </c>
    </row>
    <row r="5" spans="1:2" ht="74.25" customHeight="1" x14ac:dyDescent="0.25">
      <c r="A5" s="86" t="s">
        <v>16</v>
      </c>
    </row>
    <row r="6" spans="1:2" ht="26.25" customHeight="1" x14ac:dyDescent="0.25">
      <c r="A6" s="85" t="s">
        <v>19</v>
      </c>
    </row>
    <row r="7" spans="1:2" s="7" customFormat="1" ht="205.2" customHeight="1" x14ac:dyDescent="0.25">
      <c r="A7" s="87" t="s">
        <v>18</v>
      </c>
    </row>
    <row r="8" spans="1:2" s="10" customFormat="1" ht="30" x14ac:dyDescent="0.7">
      <c r="A8" s="85" t="s">
        <v>9</v>
      </c>
    </row>
    <row r="9" spans="1:2" ht="41.4" x14ac:dyDescent="0.25">
      <c r="A9" s="86" t="s">
        <v>17</v>
      </c>
    </row>
    <row r="10" spans="1:2" s="7" customFormat="1" ht="28.2" customHeight="1" x14ac:dyDescent="0.25">
      <c r="A10" s="88" t="s">
        <v>15</v>
      </c>
    </row>
    <row r="11" spans="1:2" s="10" customFormat="1" ht="30" x14ac:dyDescent="0.7">
      <c r="A11" s="85" t="s">
        <v>6</v>
      </c>
    </row>
    <row r="12" spans="1:2" ht="27.6" x14ac:dyDescent="0.25">
      <c r="A12" s="86" t="s">
        <v>14</v>
      </c>
    </row>
    <row r="13" spans="1:2" s="7" customFormat="1" ht="28.2" customHeight="1" x14ac:dyDescent="0.25">
      <c r="A13" s="88" t="s">
        <v>2</v>
      </c>
    </row>
    <row r="14" spans="1:2" s="10" customFormat="1" ht="30" x14ac:dyDescent="0.7">
      <c r="A14" s="85" t="s">
        <v>10</v>
      </c>
    </row>
    <row r="15" spans="1:2" ht="75" customHeight="1" x14ac:dyDescent="0.25">
      <c r="A15" s="86" t="s">
        <v>11</v>
      </c>
    </row>
    <row r="16" spans="1:2" ht="69" x14ac:dyDescent="0.25">
      <c r="A16" s="86" t="s">
        <v>12</v>
      </c>
    </row>
    <row r="17" spans="1:1" x14ac:dyDescent="0.25">
      <c r="A17" s="89"/>
    </row>
    <row r="18" spans="1:1" x14ac:dyDescent="0.25">
      <c r="A18" s="89"/>
    </row>
    <row r="19" spans="1:1" x14ac:dyDescent="0.25">
      <c r="A19" s="89"/>
    </row>
    <row r="20" spans="1:1" x14ac:dyDescent="0.25">
      <c r="A20" s="89"/>
    </row>
    <row r="21" spans="1:1" x14ac:dyDescent="0.25">
      <c r="A21" s="89"/>
    </row>
    <row r="22" spans="1:1" x14ac:dyDescent="0.25">
      <c r="A22" s="89"/>
    </row>
    <row r="23" spans="1:1" x14ac:dyDescent="0.25">
      <c r="A23" s="89"/>
    </row>
    <row r="24" spans="1:1" x14ac:dyDescent="0.25">
      <c r="A24" s="8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AC8F4C9C2A114F8DDB94C4F18E6DA6" ma:contentTypeVersion="7" ma:contentTypeDescription="Create a new document." ma:contentTypeScope="" ma:versionID="e29fb6405f729884d96b796391d44fd1">
  <xsd:schema xmlns:xsd="http://www.w3.org/2001/XMLSchema" xmlns:xs="http://www.w3.org/2001/XMLSchema" xmlns:p="http://schemas.microsoft.com/office/2006/metadata/properties" xmlns:ns2="640c2c4d-d7f0-437a-8f96-9fe120ede7d0" targetNamespace="http://schemas.microsoft.com/office/2006/metadata/properties" ma:root="true" ma:fieldsID="2aad0883e8c77136ac7c3bb88e096e22" ns2:_="">
    <xsd:import namespace="640c2c4d-d7f0-437a-8f96-9fe120ede7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0c2c4d-d7f0-437a-8f96-9fe120ede7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dcmitype/"/>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640c2c4d-d7f0-437a-8f96-9fe120ede7d0"/>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3C3A191C-952A-42D7-91B2-0213CA7996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0c2c4d-d7f0-437a-8f96-9fe120ede7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6</vt:i4>
      </vt:variant>
    </vt:vector>
  </HeadingPairs>
  <TitlesOfParts>
    <vt:vector size="8" baseType="lpstr">
      <vt:lpstr>Project schedule</vt:lpstr>
      <vt:lpstr>About</vt:lpstr>
      <vt:lpstr>Display_Week</vt:lpstr>
      <vt:lpstr>Project_Start</vt:lpstr>
      <vt:lpstr>'Project schedule'!task_end</vt:lpstr>
      <vt:lpstr>'Project schedule'!task_progress</vt:lpstr>
      <vt:lpstr>'Project schedule'!task_start</vt:lpstr>
      <vt:lpstr>'Project schedule'!Titoli_stampa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Marco Canali</dc:creator>
  <dc:description/>
  <cp:lastModifiedBy>Bruno Baldassarri</cp:lastModifiedBy>
  <dcterms:created xsi:type="dcterms:W3CDTF">2022-03-11T22:41:12Z</dcterms:created>
  <dcterms:modified xsi:type="dcterms:W3CDTF">2025-10-29T10:40:34Z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0x01010071AC8F4C9C2A114F8DDB94C4F18E6DA6</vt:lpwstr>
  </property>
  <property fmtid="{D5CDD505-2E9C-101B-9397-08002B2CF9AE}" pid="3" name="MediaServiceImageTags">
    <vt:lpwstr/>
  </property>
</Properties>
</file>